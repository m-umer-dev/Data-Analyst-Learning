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mer\Documents\GitHub\Data Analyst Learning\"/>
    </mc:Choice>
  </mc:AlternateContent>
  <bookViews>
    <workbookView xWindow="0" yWindow="0" windowWidth="19200" windowHeight="7050" activeTab="2"/>
  </bookViews>
  <sheets>
    <sheet name="Lesson 01" sheetId="1" r:id="rId1"/>
    <sheet name="Lesson 02" sheetId="2" r:id="rId2"/>
    <sheet name="Lesson 07" sheetId="3" r:id="rId3"/>
  </sheets>
  <definedNames>
    <definedName name="_xlnm._FilterDatabase" localSheetId="2" hidden="1">'Lesson 07'!$A$1:$C$11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3" i="2"/>
  <c r="B15" i="2"/>
  <c r="D6" i="2"/>
  <c r="D5" i="2"/>
  <c r="D4" i="2"/>
  <c r="D3" i="2"/>
  <c r="B10" i="2" l="1"/>
  <c r="B9" i="2" l="1"/>
  <c r="B12" i="2"/>
  <c r="B11" i="2" s="1"/>
  <c r="B14" i="2" l="1"/>
</calcChain>
</file>

<file path=xl/sharedStrings.xml><?xml version="1.0" encoding="utf-8"?>
<sst xmlns="http://schemas.openxmlformats.org/spreadsheetml/2006/main" count="81" uniqueCount="33">
  <si>
    <t>Alex</t>
  </si>
  <si>
    <t>Islamabad</t>
  </si>
  <si>
    <t>Day</t>
  </si>
  <si>
    <t>Sales (Rs.)</t>
  </si>
  <si>
    <t>Monday</t>
  </si>
  <si>
    <t>Tuesday</t>
  </si>
  <si>
    <t>Wednesday</t>
  </si>
  <si>
    <t>Thursday</t>
  </si>
  <si>
    <t>Friday</t>
  </si>
  <si>
    <t>Saturday</t>
  </si>
  <si>
    <t>Total</t>
  </si>
  <si>
    <t>Average Sale</t>
  </si>
  <si>
    <t>Best Day Sales</t>
  </si>
  <si>
    <t>Worst Day Sales</t>
  </si>
  <si>
    <t>Count of Days</t>
  </si>
  <si>
    <t>Count of Day Names</t>
  </si>
  <si>
    <t>Performance</t>
  </si>
  <si>
    <t>My Shop Sales Report — Week 1</t>
  </si>
  <si>
    <t>Product</t>
  </si>
  <si>
    <t>Category</t>
  </si>
  <si>
    <t>Apples</t>
  </si>
  <si>
    <t>Mangoes</t>
  </si>
  <si>
    <t>Milk</t>
  </si>
  <si>
    <t>Cheese</t>
  </si>
  <si>
    <t>Bread</t>
  </si>
  <si>
    <t>Cake</t>
  </si>
  <si>
    <t>Yogurt</t>
  </si>
  <si>
    <t>Bananas</t>
  </si>
  <si>
    <t>Croissant</t>
  </si>
  <si>
    <t>Butter</t>
  </si>
  <si>
    <t>Fruit</t>
  </si>
  <si>
    <t>Dairy</t>
  </si>
  <si>
    <t>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</si>
</sst>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1" fillId="2" borderId="0" xfId="0" applyFont="1" applyFill="1"/>
    <xf numFmtId="0" fontId="0" fillId="3" borderId="1" xfId="0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quotePrefix="1" applyFill="1" applyBorder="1"/>
    <xf numFmtId="0" fontId="0" fillId="0" borderId="1" xfId="0" applyFill="1" applyBorder="1"/>
    <xf numFmtId="0" fontId="0" fillId="5" borderId="1" xfId="0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14" sqref="C14"/>
    </sheetView>
  </sheetViews>
  <sheetFormatPr defaultRowHeight="14.5" x14ac:dyDescent="0.35"/>
  <cols>
    <col min="1" max="1" width="4.36328125" bestFit="1" customWidth="1"/>
    <col min="2" max="2" width="9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25</v>
      </c>
      <c r="B2" s="1">
        <v>46114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selection activeCell="F15" sqref="F15"/>
    </sheetView>
  </sheetViews>
  <sheetFormatPr defaultRowHeight="14.5" x14ac:dyDescent="0.35"/>
  <cols>
    <col min="1" max="1" width="18" bestFit="1" customWidth="1"/>
    <col min="2" max="2" width="11.81640625" bestFit="1" customWidth="1"/>
    <col min="3" max="3" width="13.7265625" bestFit="1" customWidth="1"/>
    <col min="4" max="4" width="3.81640625" bestFit="1" customWidth="1"/>
  </cols>
  <sheetData>
    <row r="1" spans="1:4" ht="21" x14ac:dyDescent="0.5">
      <c r="A1" s="5" t="s">
        <v>17</v>
      </c>
      <c r="B1" s="6"/>
      <c r="C1" s="7"/>
    </row>
    <row r="2" spans="1:4" ht="17" x14ac:dyDescent="0.4">
      <c r="A2" s="3" t="s">
        <v>2</v>
      </c>
      <c r="B2" s="3" t="s">
        <v>3</v>
      </c>
      <c r="C2" s="3" t="s">
        <v>16</v>
      </c>
    </row>
    <row r="3" spans="1:4" x14ac:dyDescent="0.35">
      <c r="A3" s="4" t="s">
        <v>4</v>
      </c>
      <c r="B3" s="4">
        <v>3000</v>
      </c>
      <c r="C3" s="4" t="str">
        <f>IF(B3&gt;2000,"Good Day","Bad Day")</f>
        <v>Good Day</v>
      </c>
      <c r="D3">
        <f>100+200</f>
        <v>300</v>
      </c>
    </row>
    <row r="4" spans="1:4" x14ac:dyDescent="0.35">
      <c r="A4" s="2" t="s">
        <v>5</v>
      </c>
      <c r="B4" s="2">
        <v>2300</v>
      </c>
      <c r="C4" s="2" t="str">
        <f>IF(B4&gt;2000,"Good Day","Bad Day")</f>
        <v>Good Day</v>
      </c>
      <c r="D4">
        <f>500-150</f>
        <v>350</v>
      </c>
    </row>
    <row r="5" spans="1:4" x14ac:dyDescent="0.35">
      <c r="A5" s="4" t="s">
        <v>6</v>
      </c>
      <c r="B5" s="4">
        <v>1800</v>
      </c>
      <c r="C5" s="4" t="str">
        <f>IF(B5&gt;2000,"Good Day","Bad Day")</f>
        <v>Bad Day</v>
      </c>
      <c r="D5">
        <f>50*4</f>
        <v>200</v>
      </c>
    </row>
    <row r="6" spans="1:4" x14ac:dyDescent="0.35">
      <c r="A6" s="2" t="s">
        <v>7</v>
      </c>
      <c r="B6" s="2">
        <v>3100</v>
      </c>
      <c r="C6" s="2" t="str">
        <f>IF(B6&gt;2000,"Good Day","Bad Day")</f>
        <v>Good Day</v>
      </c>
      <c r="D6">
        <f>100/4</f>
        <v>25</v>
      </c>
    </row>
    <row r="7" spans="1:4" x14ac:dyDescent="0.35">
      <c r="A7" s="4" t="s">
        <v>8</v>
      </c>
      <c r="B7" s="4">
        <v>2750</v>
      </c>
      <c r="C7" s="4" t="str">
        <f>IF(B7&gt;2000,"Good Day","Bad Day")</f>
        <v>Good Day</v>
      </c>
    </row>
    <row r="8" spans="1:4" x14ac:dyDescent="0.35">
      <c r="A8" s="2" t="s">
        <v>9</v>
      </c>
      <c r="B8" s="2">
        <v>4200</v>
      </c>
      <c r="C8" s="2" t="str">
        <f>IF(B8&gt;2000,"Good Day","Bad Day")</f>
        <v>Good Day</v>
      </c>
    </row>
    <row r="9" spans="1:4" x14ac:dyDescent="0.35">
      <c r="A9" s="8" t="s">
        <v>10</v>
      </c>
      <c r="B9" s="9">
        <f>SUM(B3:B8)</f>
        <v>17150</v>
      </c>
      <c r="C9" s="2"/>
    </row>
    <row r="10" spans="1:4" x14ac:dyDescent="0.35">
      <c r="A10" s="9" t="s">
        <v>11</v>
      </c>
      <c r="B10" s="9">
        <f>AVERAGE(B3:B8)</f>
        <v>2858.3333333333335</v>
      </c>
      <c r="C10" s="2"/>
    </row>
    <row r="11" spans="1:4" x14ac:dyDescent="0.35">
      <c r="A11" s="9" t="s">
        <v>12</v>
      </c>
      <c r="B11" s="9">
        <f>MAX(B3:B8)</f>
        <v>4200</v>
      </c>
      <c r="C11" s="2"/>
    </row>
    <row r="12" spans="1:4" x14ac:dyDescent="0.35">
      <c r="A12" s="9" t="s">
        <v>13</v>
      </c>
      <c r="B12" s="9">
        <f>MIN(B3:B8)</f>
        <v>1800</v>
      </c>
      <c r="C12" s="2"/>
    </row>
    <row r="13" spans="1:4" x14ac:dyDescent="0.35">
      <c r="A13" s="9"/>
      <c r="B13" s="9"/>
      <c r="C13" s="2"/>
    </row>
    <row r="14" spans="1:4" x14ac:dyDescent="0.35">
      <c r="A14" s="2" t="s">
        <v>14</v>
      </c>
      <c r="B14" s="2">
        <f>COUNT(B3:B8)</f>
        <v>6</v>
      </c>
      <c r="C14" s="2"/>
    </row>
    <row r="15" spans="1:4" x14ac:dyDescent="0.35">
      <c r="A15" s="2" t="s">
        <v>15</v>
      </c>
      <c r="B15" s="2">
        <f>COUNTA(A3:A8)</f>
        <v>6</v>
      </c>
      <c r="C15" s="2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pane ySplit="1" topLeftCell="A24" activePane="bottomLeft" state="frozen"/>
      <selection pane="bottomLeft" activeCell="A6" sqref="A6"/>
    </sheetView>
  </sheetViews>
  <sheetFormatPr defaultRowHeight="14.5" x14ac:dyDescent="0.35"/>
  <cols>
    <col min="1" max="1" width="8.7265625" bestFit="1" customWidth="1"/>
    <col min="2" max="2" width="10.81640625" bestFit="1" customWidth="1"/>
    <col min="3" max="3" width="9.7265625" bestFit="1" customWidth="1"/>
  </cols>
  <sheetData>
    <row r="1" spans="1:3" ht="17" x14ac:dyDescent="0.4">
      <c r="A1" s="11" t="s">
        <v>18</v>
      </c>
      <c r="B1" s="11" t="s">
        <v>3</v>
      </c>
      <c r="C1" s="11" t="s">
        <v>19</v>
      </c>
    </row>
    <row r="2" spans="1:3" x14ac:dyDescent="0.35">
      <c r="A2" s="10" t="s">
        <v>20</v>
      </c>
      <c r="B2" s="10">
        <v>1500</v>
      </c>
      <c r="C2" s="10" t="s">
        <v>30</v>
      </c>
    </row>
    <row r="3" spans="1:3" x14ac:dyDescent="0.35">
      <c r="A3" s="2" t="s">
        <v>27</v>
      </c>
      <c r="B3" s="2">
        <v>2700</v>
      </c>
      <c r="C3" s="2" t="s">
        <v>30</v>
      </c>
    </row>
    <row r="4" spans="1:3" x14ac:dyDescent="0.35">
      <c r="A4" s="10" t="s">
        <v>24</v>
      </c>
      <c r="B4" s="10">
        <v>950</v>
      </c>
      <c r="C4" s="10" t="s">
        <v>32</v>
      </c>
    </row>
    <row r="5" spans="1:3" x14ac:dyDescent="0.35">
      <c r="A5" s="2" t="s">
        <v>29</v>
      </c>
      <c r="B5" s="2">
        <v>650</v>
      </c>
      <c r="C5" s="2" t="s">
        <v>31</v>
      </c>
    </row>
    <row r="6" spans="1:3" x14ac:dyDescent="0.35">
      <c r="A6" s="10" t="s">
        <v>25</v>
      </c>
      <c r="B6" s="10">
        <v>3800</v>
      </c>
      <c r="C6" s="10" t="s">
        <v>32</v>
      </c>
    </row>
    <row r="7" spans="1:3" x14ac:dyDescent="0.35">
      <c r="A7" s="2" t="s">
        <v>23</v>
      </c>
      <c r="B7" s="2">
        <v>2100</v>
      </c>
      <c r="C7" s="2" t="s">
        <v>31</v>
      </c>
    </row>
    <row r="8" spans="1:3" x14ac:dyDescent="0.35">
      <c r="A8" s="10" t="s">
        <v>28</v>
      </c>
      <c r="B8" s="10">
        <v>1800</v>
      </c>
      <c r="C8" s="10" t="s">
        <v>32</v>
      </c>
    </row>
    <row r="9" spans="1:3" x14ac:dyDescent="0.35">
      <c r="A9" s="2" t="s">
        <v>21</v>
      </c>
      <c r="B9" s="2">
        <v>3200</v>
      </c>
      <c r="C9" s="2" t="s">
        <v>30</v>
      </c>
    </row>
    <row r="10" spans="1:3" x14ac:dyDescent="0.35">
      <c r="A10" s="10" t="s">
        <v>22</v>
      </c>
      <c r="B10" s="10">
        <v>800</v>
      </c>
      <c r="C10" s="10" t="s">
        <v>31</v>
      </c>
    </row>
    <row r="11" spans="1:3" x14ac:dyDescent="0.35">
      <c r="A11" s="2" t="s">
        <v>26</v>
      </c>
      <c r="B11" s="2">
        <v>1200</v>
      </c>
      <c r="C11" s="10" t="s">
        <v>31</v>
      </c>
    </row>
    <row r="12" spans="1:3" x14ac:dyDescent="0.35">
      <c r="A12" s="10" t="s">
        <v>20</v>
      </c>
      <c r="B12" s="10">
        <v>1500</v>
      </c>
      <c r="C12" s="10" t="s">
        <v>30</v>
      </c>
    </row>
    <row r="13" spans="1:3" x14ac:dyDescent="0.35">
      <c r="A13" s="2" t="s">
        <v>27</v>
      </c>
      <c r="B13" s="2">
        <v>2700</v>
      </c>
      <c r="C13" s="2" t="s">
        <v>30</v>
      </c>
    </row>
    <row r="14" spans="1:3" x14ac:dyDescent="0.35">
      <c r="A14" s="10" t="s">
        <v>24</v>
      </c>
      <c r="B14" s="10">
        <v>950</v>
      </c>
      <c r="C14" s="10" t="s">
        <v>32</v>
      </c>
    </row>
    <row r="15" spans="1:3" x14ac:dyDescent="0.35">
      <c r="A15" s="2" t="s">
        <v>29</v>
      </c>
      <c r="B15" s="2">
        <v>650</v>
      </c>
      <c r="C15" s="2" t="s">
        <v>31</v>
      </c>
    </row>
    <row r="16" spans="1:3" x14ac:dyDescent="0.35">
      <c r="A16" s="10" t="s">
        <v>25</v>
      </c>
      <c r="B16" s="10">
        <v>3800</v>
      </c>
      <c r="C16" s="10" t="s">
        <v>32</v>
      </c>
    </row>
    <row r="17" spans="1:3" x14ac:dyDescent="0.35">
      <c r="A17" s="2" t="s">
        <v>23</v>
      </c>
      <c r="B17" s="2">
        <v>2100</v>
      </c>
      <c r="C17" s="2" t="s">
        <v>31</v>
      </c>
    </row>
    <row r="18" spans="1:3" x14ac:dyDescent="0.35">
      <c r="A18" s="10" t="s">
        <v>28</v>
      </c>
      <c r="B18" s="10">
        <v>1800</v>
      </c>
      <c r="C18" s="10" t="s">
        <v>32</v>
      </c>
    </row>
    <row r="19" spans="1:3" x14ac:dyDescent="0.35">
      <c r="A19" s="2" t="s">
        <v>21</v>
      </c>
      <c r="B19" s="2">
        <v>3200</v>
      </c>
      <c r="C19" s="2" t="s">
        <v>30</v>
      </c>
    </row>
    <row r="20" spans="1:3" x14ac:dyDescent="0.35">
      <c r="A20" s="10" t="s">
        <v>22</v>
      </c>
      <c r="B20" s="10">
        <v>800</v>
      </c>
      <c r="C20" s="10" t="s">
        <v>31</v>
      </c>
    </row>
    <row r="21" spans="1:3" x14ac:dyDescent="0.35">
      <c r="A21" s="2" t="s">
        <v>26</v>
      </c>
      <c r="B21" s="2">
        <v>1200</v>
      </c>
      <c r="C21" s="10" t="s">
        <v>31</v>
      </c>
    </row>
    <row r="22" spans="1:3" x14ac:dyDescent="0.35">
      <c r="A22" s="10" t="s">
        <v>20</v>
      </c>
      <c r="B22" s="10">
        <v>1500</v>
      </c>
      <c r="C22" s="10" t="s">
        <v>30</v>
      </c>
    </row>
    <row r="23" spans="1:3" x14ac:dyDescent="0.35">
      <c r="A23" s="2" t="s">
        <v>27</v>
      </c>
      <c r="B23" s="2">
        <v>2700</v>
      </c>
      <c r="C23" s="2" t="s">
        <v>30</v>
      </c>
    </row>
    <row r="24" spans="1:3" x14ac:dyDescent="0.35">
      <c r="A24" s="10" t="s">
        <v>24</v>
      </c>
      <c r="B24" s="10">
        <v>950</v>
      </c>
      <c r="C24" s="10" t="s">
        <v>32</v>
      </c>
    </row>
    <row r="25" spans="1:3" x14ac:dyDescent="0.35">
      <c r="A25" s="2" t="s">
        <v>29</v>
      </c>
      <c r="B25" s="2">
        <v>650</v>
      </c>
      <c r="C25" s="2" t="s">
        <v>31</v>
      </c>
    </row>
    <row r="26" spans="1:3" x14ac:dyDescent="0.35">
      <c r="A26" s="10" t="s">
        <v>25</v>
      </c>
      <c r="B26" s="10">
        <v>3800</v>
      </c>
      <c r="C26" s="10" t="s">
        <v>32</v>
      </c>
    </row>
    <row r="27" spans="1:3" x14ac:dyDescent="0.35">
      <c r="A27" s="2" t="s">
        <v>23</v>
      </c>
      <c r="B27" s="2">
        <v>2100</v>
      </c>
      <c r="C27" s="2" t="s">
        <v>31</v>
      </c>
    </row>
    <row r="28" spans="1:3" x14ac:dyDescent="0.35">
      <c r="A28" s="10" t="s">
        <v>28</v>
      </c>
      <c r="B28" s="10">
        <v>1800</v>
      </c>
      <c r="C28" s="10" t="s">
        <v>32</v>
      </c>
    </row>
    <row r="29" spans="1:3" x14ac:dyDescent="0.35">
      <c r="A29" s="2" t="s">
        <v>21</v>
      </c>
      <c r="B29" s="2">
        <v>3200</v>
      </c>
      <c r="C29" s="2" t="s">
        <v>30</v>
      </c>
    </row>
    <row r="30" spans="1:3" x14ac:dyDescent="0.35">
      <c r="A30" s="10" t="s">
        <v>22</v>
      </c>
      <c r="B30" s="10">
        <v>800</v>
      </c>
      <c r="C30" s="10" t="s">
        <v>31</v>
      </c>
    </row>
    <row r="31" spans="1:3" x14ac:dyDescent="0.35">
      <c r="A31" s="2" t="s">
        <v>26</v>
      </c>
      <c r="B31" s="2">
        <v>1200</v>
      </c>
      <c r="C31" s="10" t="s">
        <v>31</v>
      </c>
    </row>
  </sheetData>
  <sortState ref="A2:C11">
    <sortCondition ref="A2:A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Lesson 01</vt:lpstr>
      <vt:lpstr>Lesson 02</vt:lpstr>
      <vt:lpstr>Lesson 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</dc:creator>
  <cp:lastModifiedBy>umer</cp:lastModifiedBy>
  <dcterms:created xsi:type="dcterms:W3CDTF">2026-04-02T17:34:40Z</dcterms:created>
  <dcterms:modified xsi:type="dcterms:W3CDTF">2026-04-03T18:28:27Z</dcterms:modified>
</cp:coreProperties>
</file>