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mer\Documents\GitHub\Data Analyst Learning\"/>
    </mc:Choice>
  </mc:AlternateContent>
  <bookViews>
    <workbookView xWindow="0" yWindow="0" windowWidth="19200" windowHeight="7050" activeTab="7"/>
  </bookViews>
  <sheets>
    <sheet name="Sheet1" sheetId="1" r:id="rId1"/>
    <sheet name="Sheet2" sheetId="2" r:id="rId2"/>
    <sheet name="Sheet3" sheetId="3" r:id="rId3"/>
    <sheet name="Sheet4" sheetId="5" r:id="rId4"/>
    <sheet name="Sheet5" sheetId="7" r:id="rId5"/>
    <sheet name="Sheet6" sheetId="9" r:id="rId6"/>
    <sheet name="Sheet7" sheetId="11" r:id="rId7"/>
    <sheet name="Sheet8" sheetId="12" r:id="rId8"/>
  </sheets>
  <definedNames>
    <definedName name="_xlnm._FilterDatabase" localSheetId="2" hidden="1">Sheet3!$A$1:$C$11</definedName>
  </definedNames>
  <calcPr calcId="162913"/>
  <pivotCaches>
    <pivotCache cacheId="5" r:id="rId9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" i="12" l="1"/>
  <c r="F4" i="12"/>
  <c r="F5" i="12"/>
  <c r="F6" i="12"/>
  <c r="F7" i="12"/>
  <c r="F8" i="12"/>
  <c r="F9" i="12"/>
  <c r="F2" i="12"/>
  <c r="E3" i="12"/>
  <c r="E4" i="12"/>
  <c r="E5" i="12"/>
  <c r="E6" i="12"/>
  <c r="E7" i="12"/>
  <c r="E8" i="12"/>
  <c r="E9" i="12"/>
  <c r="E2" i="12"/>
  <c r="D3" i="12"/>
  <c r="D4" i="12"/>
  <c r="D5" i="12"/>
  <c r="D6" i="12"/>
  <c r="D7" i="12"/>
  <c r="D8" i="12"/>
  <c r="D9" i="12"/>
  <c r="D2" i="12"/>
  <c r="E3" i="11"/>
  <c r="E4" i="11"/>
  <c r="E5" i="11"/>
  <c r="E6" i="11"/>
  <c r="E7" i="11"/>
  <c r="E8" i="11"/>
  <c r="E9" i="11"/>
  <c r="E2" i="11"/>
  <c r="G3" i="11"/>
  <c r="G4" i="11"/>
  <c r="G5" i="11"/>
  <c r="G6" i="11"/>
  <c r="G7" i="11"/>
  <c r="G8" i="11"/>
  <c r="G9" i="11"/>
  <c r="G2" i="11"/>
  <c r="F3" i="11"/>
  <c r="F4" i="11"/>
  <c r="F5" i="11"/>
  <c r="F6" i="11"/>
  <c r="F7" i="11"/>
  <c r="F8" i="11"/>
  <c r="F9" i="11"/>
  <c r="F2" i="11"/>
  <c r="D3" i="5" l="1"/>
  <c r="D4" i="5"/>
  <c r="D5" i="5"/>
  <c r="D6" i="5"/>
  <c r="D2" i="5"/>
  <c r="C4" i="5"/>
  <c r="C5" i="5"/>
  <c r="C6" i="5"/>
  <c r="C3" i="5"/>
  <c r="C2" i="5"/>
  <c r="C3" i="2" l="1"/>
  <c r="C4" i="2"/>
  <c r="C5" i="2"/>
  <c r="C6" i="2"/>
  <c r="C7" i="2"/>
  <c r="C2" i="2"/>
  <c r="B14" i="2"/>
  <c r="D5" i="2"/>
  <c r="D4" i="2"/>
  <c r="D3" i="2"/>
  <c r="D2" i="2"/>
  <c r="B9" i="2" l="1"/>
  <c r="B8" i="2" l="1"/>
  <c r="B11" i="2"/>
  <c r="B10" i="2" s="1"/>
  <c r="B13" i="2" l="1"/>
</calcChain>
</file>

<file path=xl/sharedStrings.xml><?xml version="1.0" encoding="utf-8"?>
<sst xmlns="http://schemas.openxmlformats.org/spreadsheetml/2006/main" count="214" uniqueCount="87">
  <si>
    <t>Alex</t>
  </si>
  <si>
    <t>Islamabad</t>
  </si>
  <si>
    <t>Sales (Rs.)</t>
  </si>
  <si>
    <t>Monday</t>
  </si>
  <si>
    <t>Tuesday</t>
  </si>
  <si>
    <t>Wednesday</t>
  </si>
  <si>
    <t>Thursday</t>
  </si>
  <si>
    <t>Friday</t>
  </si>
  <si>
    <t>Saturday</t>
  </si>
  <si>
    <t>Total</t>
  </si>
  <si>
    <t>Average Sale</t>
  </si>
  <si>
    <t>Best Day Sales</t>
  </si>
  <si>
    <t>Worst Day Sales</t>
  </si>
  <si>
    <t>Count of Days</t>
  </si>
  <si>
    <t>Count of Day Names</t>
  </si>
  <si>
    <t>My Shop Sales Report — Week 1</t>
  </si>
  <si>
    <t>Product</t>
  </si>
  <si>
    <t>Category</t>
  </si>
  <si>
    <t>Apples</t>
  </si>
  <si>
    <t>Mangoes</t>
  </si>
  <si>
    <t>Milk</t>
  </si>
  <si>
    <t>Cheese</t>
  </si>
  <si>
    <t>Bread</t>
  </si>
  <si>
    <t>Cake</t>
  </si>
  <si>
    <t>Yogurt</t>
  </si>
  <si>
    <t>Bananas</t>
  </si>
  <si>
    <t>Croissant</t>
  </si>
  <si>
    <t>Butter</t>
  </si>
  <si>
    <t>Fruit</t>
  </si>
  <si>
    <t>Dairy</t>
  </si>
  <si>
    <t>Bakery</t>
  </si>
  <si>
    <t>Student ID</t>
  </si>
  <si>
    <t>Marks</t>
  </si>
  <si>
    <t>S001</t>
  </si>
  <si>
    <t>S002</t>
  </si>
  <si>
    <t>S003</t>
  </si>
  <si>
    <t>S004</t>
  </si>
  <si>
    <t>S005</t>
  </si>
  <si>
    <t>Name</t>
  </si>
  <si>
    <t>Grade</t>
  </si>
  <si>
    <t>Ahmed</t>
  </si>
  <si>
    <t>Sara</t>
  </si>
  <si>
    <t>Ali</t>
  </si>
  <si>
    <t>Fatima</t>
  </si>
  <si>
    <t>Usman</t>
  </si>
  <si>
    <t>A</t>
  </si>
  <si>
    <t>B</t>
  </si>
  <si>
    <t>A+</t>
  </si>
  <si>
    <t>C</t>
  </si>
  <si>
    <t>B+</t>
  </si>
  <si>
    <t>Hamza</t>
  </si>
  <si>
    <t>Results</t>
  </si>
  <si>
    <t>Pass</t>
  </si>
  <si>
    <t>Incomplete</t>
  </si>
  <si>
    <t>Fail</t>
  </si>
  <si>
    <t>Department</t>
  </si>
  <si>
    <t>Science</t>
  </si>
  <si>
    <t>Arts</t>
  </si>
  <si>
    <t>Engineering</t>
  </si>
  <si>
    <t>Commerce</t>
  </si>
  <si>
    <t>Salesperson</t>
  </si>
  <si>
    <t>City</t>
  </si>
  <si>
    <t>Sales</t>
  </si>
  <si>
    <t>Lahore</t>
  </si>
  <si>
    <t>Karachi</t>
  </si>
  <si>
    <t>Row Labels</t>
  </si>
  <si>
    <t>Grand Total</t>
  </si>
  <si>
    <t>Sum of Sales</t>
  </si>
  <si>
    <t>Column Labels</t>
  </si>
  <si>
    <t>(All)</t>
  </si>
  <si>
    <t>Bilal</t>
  </si>
  <si>
    <t>Ayesha</t>
  </si>
  <si>
    <t>Peshawar</t>
  </si>
  <si>
    <t>Attendance(%)</t>
  </si>
  <si>
    <t>Bonus</t>
  </si>
  <si>
    <t>City Type</t>
  </si>
  <si>
    <t>Top Performer</t>
  </si>
  <si>
    <t>ahmed khan</t>
  </si>
  <si>
    <t>SARA ALI</t>
  </si>
  <si>
    <t>AYESHA KHAN</t>
  </si>
  <si>
    <t xml:space="preserve">  bilal ahmed</t>
  </si>
  <si>
    <t>lahore</t>
  </si>
  <si>
    <t>islamabad</t>
  </si>
  <si>
    <t>Clean Name</t>
  </si>
  <si>
    <t>Clean City</t>
  </si>
  <si>
    <t>Trimmed Name</t>
  </si>
  <si>
    <t>Unknown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</si>
</sst>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2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14" fontId="0" fillId="0" borderId="0" xfId="0" applyNumberFormat="1"/>
    <xf numFmtId="0" fontId="0" fillId="0" borderId="1" xfId="0" applyBorder="1"/>
    <xf numFmtId="0" fontId="0" fillId="2" borderId="1" xfId="0" applyFill="1" applyBorder="1"/>
    <xf numFmtId="0" fontId="0" fillId="0" borderId="1" xfId="0" quotePrefix="1" applyFill="1" applyBorder="1"/>
    <xf numFmtId="0" fontId="0" fillId="0" borderId="1" xfId="0" applyFill="1" applyBorder="1"/>
    <xf numFmtId="0" fontId="0" fillId="4" borderId="1" xfId="0" applyFill="1" applyBorder="1"/>
    <xf numFmtId="0" fontId="1" fillId="3" borderId="1" xfId="0" applyFont="1" applyFill="1" applyBorder="1"/>
    <xf numFmtId="0" fontId="3" fillId="6" borderId="1" xfId="0" applyFont="1" applyFill="1" applyBorder="1"/>
    <xf numFmtId="0" fontId="0" fillId="7" borderId="1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2" fillId="5" borderId="2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0" fillId="8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Daily Sales Report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Sheet2!$A$2:$A$7</c:f>
              <c:strCache>
                <c:ptCount val="6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  <c:pt idx="5">
                  <c:v>Saturday</c:v>
                </c:pt>
              </c:strCache>
            </c:strRef>
          </c:cat>
          <c:val>
            <c:numRef>
              <c:f>Sheet2!$B$2:$B$7</c:f>
              <c:numCache>
                <c:formatCode>General</c:formatCode>
                <c:ptCount val="6"/>
                <c:pt idx="0">
                  <c:v>3000</c:v>
                </c:pt>
                <c:pt idx="1">
                  <c:v>2300</c:v>
                </c:pt>
                <c:pt idx="2">
                  <c:v>1800</c:v>
                </c:pt>
                <c:pt idx="3">
                  <c:v>3100</c:v>
                </c:pt>
                <c:pt idx="4">
                  <c:v>2750</c:v>
                </c:pt>
                <c:pt idx="5">
                  <c:v>4200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CA-46E6-9E0E-A06370D2153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27336351"/>
        <c:axId val="927333439"/>
      </c:barChart>
      <c:catAx>
        <c:axId val="927336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7333439"/>
        <c:crosses val="autoZero"/>
        <c:auto val="1"/>
        <c:lblAlgn val="ctr"/>
        <c:lblOffset val="100"/>
        <c:noMultiLvlLbl val="0"/>
      </c:catAx>
      <c:valAx>
        <c:axId val="927333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73363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Sales Trend This Week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Sheet2!$A$2:$A$7</c:f>
              <c:strCache>
                <c:ptCount val="6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  <c:pt idx="5">
                  <c:v>Saturday</c:v>
                </c:pt>
              </c:strCache>
            </c:strRef>
          </c:cat>
          <c:val>
            <c:numRef>
              <c:f>Sheet2!$B$2:$B$7</c:f>
              <c:numCache>
                <c:formatCode>General</c:formatCode>
                <c:ptCount val="6"/>
                <c:pt idx="0">
                  <c:v>3000</c:v>
                </c:pt>
                <c:pt idx="1">
                  <c:v>2300</c:v>
                </c:pt>
                <c:pt idx="2">
                  <c:v>1800</c:v>
                </c:pt>
                <c:pt idx="3">
                  <c:v>3100</c:v>
                </c:pt>
                <c:pt idx="4">
                  <c:v>2750</c:v>
                </c:pt>
                <c:pt idx="5">
                  <c:v>4200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31-45F6-8173-A50122FB206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927336767"/>
        <c:axId val="927338847"/>
      </c:lineChart>
      <c:catAx>
        <c:axId val="9273367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7338847"/>
        <c:crosses val="autoZero"/>
        <c:auto val="1"/>
        <c:lblAlgn val="ctr"/>
        <c:lblOffset val="100"/>
        <c:noMultiLvlLbl val="0"/>
      </c:catAx>
      <c:valAx>
        <c:axId val="927338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7336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Sales by Category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BAC-4C8E-A144-4E47FD5F88E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BAC-4C8E-A144-4E47FD5F88E3}"/>
              </c:ext>
            </c:extLst>
          </c:dPt>
          <c:cat>
            <c:multiLvlStrRef>
              <c:f>Sheet3!$B$1:$C$31</c:f>
              <c:multiLvlStrCache>
                <c:ptCount val="2"/>
                <c:lvl>
                  <c:pt idx="0">
                    <c:v>1200</c:v>
                  </c:pt>
                  <c:pt idx="1">
                    <c:v>Dairy</c:v>
                  </c:pt>
                </c:lvl>
                <c:lvl>
                  <c:pt idx="0">
                    <c:v>800</c:v>
                  </c:pt>
                  <c:pt idx="1">
                    <c:v>Dairy</c:v>
                  </c:pt>
                </c:lvl>
                <c:lvl>
                  <c:pt idx="0">
                    <c:v>3200</c:v>
                  </c:pt>
                  <c:pt idx="1">
                    <c:v>Fruit</c:v>
                  </c:pt>
                </c:lvl>
                <c:lvl>
                  <c:pt idx="0">
                    <c:v>1800</c:v>
                  </c:pt>
                  <c:pt idx="1">
                    <c:v>Bakery</c:v>
                  </c:pt>
                </c:lvl>
                <c:lvl>
                  <c:pt idx="0">
                    <c:v>2100</c:v>
                  </c:pt>
                  <c:pt idx="1">
                    <c:v>Dairy</c:v>
                  </c:pt>
                </c:lvl>
                <c:lvl>
                  <c:pt idx="0">
                    <c:v>3800</c:v>
                  </c:pt>
                  <c:pt idx="1">
                    <c:v>Bakery</c:v>
                  </c:pt>
                </c:lvl>
                <c:lvl>
                  <c:pt idx="0">
                    <c:v>650</c:v>
                  </c:pt>
                  <c:pt idx="1">
                    <c:v>Dairy</c:v>
                  </c:pt>
                </c:lvl>
                <c:lvl>
                  <c:pt idx="0">
                    <c:v>950</c:v>
                  </c:pt>
                  <c:pt idx="1">
                    <c:v>Bakery</c:v>
                  </c:pt>
                </c:lvl>
                <c:lvl>
                  <c:pt idx="0">
                    <c:v>2700</c:v>
                  </c:pt>
                  <c:pt idx="1">
                    <c:v>Fruit</c:v>
                  </c:pt>
                </c:lvl>
                <c:lvl>
                  <c:pt idx="0">
                    <c:v>1500</c:v>
                  </c:pt>
                  <c:pt idx="1">
                    <c:v>Fruit</c:v>
                  </c:pt>
                </c:lvl>
                <c:lvl>
                  <c:pt idx="0">
                    <c:v>1200</c:v>
                  </c:pt>
                  <c:pt idx="1">
                    <c:v>Dairy</c:v>
                  </c:pt>
                </c:lvl>
                <c:lvl>
                  <c:pt idx="0">
                    <c:v>800</c:v>
                  </c:pt>
                  <c:pt idx="1">
                    <c:v>Dairy</c:v>
                  </c:pt>
                </c:lvl>
                <c:lvl>
                  <c:pt idx="0">
                    <c:v>3200</c:v>
                  </c:pt>
                  <c:pt idx="1">
                    <c:v>Fruit</c:v>
                  </c:pt>
                </c:lvl>
                <c:lvl>
                  <c:pt idx="0">
                    <c:v>1800</c:v>
                  </c:pt>
                  <c:pt idx="1">
                    <c:v>Bakery</c:v>
                  </c:pt>
                </c:lvl>
                <c:lvl>
                  <c:pt idx="0">
                    <c:v>2100</c:v>
                  </c:pt>
                  <c:pt idx="1">
                    <c:v>Dairy</c:v>
                  </c:pt>
                </c:lvl>
                <c:lvl>
                  <c:pt idx="0">
                    <c:v>3800</c:v>
                  </c:pt>
                  <c:pt idx="1">
                    <c:v>Bakery</c:v>
                  </c:pt>
                </c:lvl>
                <c:lvl>
                  <c:pt idx="0">
                    <c:v>650</c:v>
                  </c:pt>
                  <c:pt idx="1">
                    <c:v>Dairy</c:v>
                  </c:pt>
                </c:lvl>
                <c:lvl>
                  <c:pt idx="0">
                    <c:v>950</c:v>
                  </c:pt>
                  <c:pt idx="1">
                    <c:v>Bakery</c:v>
                  </c:pt>
                </c:lvl>
                <c:lvl>
                  <c:pt idx="0">
                    <c:v>2700</c:v>
                  </c:pt>
                  <c:pt idx="1">
                    <c:v>Fruit</c:v>
                  </c:pt>
                </c:lvl>
                <c:lvl>
                  <c:pt idx="0">
                    <c:v>1500</c:v>
                  </c:pt>
                  <c:pt idx="1">
                    <c:v>Fruit</c:v>
                  </c:pt>
                </c:lvl>
                <c:lvl>
                  <c:pt idx="0">
                    <c:v>1200</c:v>
                  </c:pt>
                  <c:pt idx="1">
                    <c:v>Dairy</c:v>
                  </c:pt>
                </c:lvl>
                <c:lvl>
                  <c:pt idx="0">
                    <c:v>800</c:v>
                  </c:pt>
                  <c:pt idx="1">
                    <c:v>Dairy</c:v>
                  </c:pt>
                </c:lvl>
                <c:lvl>
                  <c:pt idx="0">
                    <c:v>3200</c:v>
                  </c:pt>
                  <c:pt idx="1">
                    <c:v>Fruit</c:v>
                  </c:pt>
                </c:lvl>
                <c:lvl>
                  <c:pt idx="0">
                    <c:v>1800</c:v>
                  </c:pt>
                  <c:pt idx="1">
                    <c:v>Bakery</c:v>
                  </c:pt>
                </c:lvl>
                <c:lvl>
                  <c:pt idx="0">
                    <c:v>2100</c:v>
                  </c:pt>
                  <c:pt idx="1">
                    <c:v>Dairy</c:v>
                  </c:pt>
                </c:lvl>
                <c:lvl>
                  <c:pt idx="0">
                    <c:v>3800</c:v>
                  </c:pt>
                  <c:pt idx="1">
                    <c:v>Bakery</c:v>
                  </c:pt>
                </c:lvl>
                <c:lvl>
                  <c:pt idx="0">
                    <c:v>650</c:v>
                  </c:pt>
                  <c:pt idx="1">
                    <c:v>Dairy</c:v>
                  </c:pt>
                </c:lvl>
                <c:lvl>
                  <c:pt idx="0">
                    <c:v>950</c:v>
                  </c:pt>
                  <c:pt idx="1">
                    <c:v>Bakery</c:v>
                  </c:pt>
                </c:lvl>
                <c:lvl>
                  <c:pt idx="0">
                    <c:v>2700</c:v>
                  </c:pt>
                  <c:pt idx="1">
                    <c:v>Fruit</c:v>
                  </c:pt>
                </c:lvl>
                <c:lvl>
                  <c:pt idx="0">
                    <c:v>1500</c:v>
                  </c:pt>
                  <c:pt idx="1">
                    <c:v>Fruit</c:v>
                  </c:pt>
                </c:lvl>
                <c:lvl>
                  <c:pt idx="0">
                    <c:v>Sales (Rs.)</c:v>
                  </c:pt>
                  <c:pt idx="1">
                    <c:v>Category</c:v>
                  </c:pt>
                </c:lvl>
              </c:multiLvlStrCache>
            </c:multiLvlStrRef>
          </c:cat>
          <c:val>
            <c:numRef>
              <c:f>(Sheet3!$B$31,Sheet3!$C$31)</c:f>
              <c:numCache>
                <c:formatCode>General</c:formatCode>
                <c:ptCount val="2"/>
                <c:pt idx="0">
                  <c:v>1200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8B-4573-B7D2-8432645E39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168275</xdr:colOff>
      <xdr:row>0</xdr:row>
      <xdr:rowOff>146049</xdr:rowOff>
    </xdr:from>
    <xdr:to>
      <xdr:col>10</xdr:col>
      <xdr:colOff>158750</xdr:colOff>
      <xdr:row>10</xdr:row>
      <xdr:rowOff>22224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314325</xdr:colOff>
      <xdr:row>0</xdr:row>
      <xdr:rowOff>158750</xdr:rowOff>
    </xdr:from>
    <xdr:to>
      <xdr:col>16</xdr:col>
      <xdr:colOff>330200</xdr:colOff>
      <xdr:row>10</xdr:row>
      <xdr:rowOff>180974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447675</xdr:colOff>
      <xdr:row>4</xdr:row>
      <xdr:rowOff>6350</xdr:rowOff>
    </xdr:from>
    <xdr:to>
      <xdr:col>13</xdr:col>
      <xdr:colOff>142875</xdr:colOff>
      <xdr:row>18</xdr:row>
      <xdr:rowOff>171450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umer" refreshedDate="46117.881428125002" createdVersion="6" refreshedVersion="6" minRefreshableVersion="3" recordCount="12">
  <cacheSource type="worksheet">
    <worksheetSource ref="A1:D13" sheet="Sheet5"/>
  </cacheSource>
  <cacheFields count="4">
    <cacheField name="Salesperson" numFmtId="0">
      <sharedItems count="5">
        <s v="Ahmed"/>
        <s v="Sara"/>
        <s v="Ali"/>
        <s v="Fatima"/>
        <s v="Usman"/>
      </sharedItems>
    </cacheField>
    <cacheField name="City" numFmtId="0">
      <sharedItems count="3">
        <s v="Lahore"/>
        <s v="Karachi"/>
        <s v="Islamabad"/>
      </sharedItems>
    </cacheField>
    <cacheField name="Product" numFmtId="0">
      <sharedItems count="2">
        <s v="Apples"/>
        <s v="Mangoes"/>
      </sharedItems>
    </cacheField>
    <cacheField name="Sales" numFmtId="0">
      <sharedItems containsSemiMixedTypes="0" containsString="0" containsNumber="1" containsInteger="1" minValue="1600" maxValue="42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2">
  <r>
    <x v="0"/>
    <x v="0"/>
    <x v="0"/>
    <n v="2500"/>
  </r>
  <r>
    <x v="1"/>
    <x v="1"/>
    <x v="1"/>
    <n v="3800"/>
  </r>
  <r>
    <x v="2"/>
    <x v="2"/>
    <x v="0"/>
    <n v="1900"/>
  </r>
  <r>
    <x v="3"/>
    <x v="0"/>
    <x v="1"/>
    <n v="4200"/>
  </r>
  <r>
    <x v="4"/>
    <x v="1"/>
    <x v="0"/>
    <n v="2100"/>
  </r>
  <r>
    <x v="0"/>
    <x v="2"/>
    <x v="1"/>
    <n v="3300"/>
  </r>
  <r>
    <x v="1"/>
    <x v="0"/>
    <x v="0"/>
    <n v="1800"/>
  </r>
  <r>
    <x v="2"/>
    <x v="1"/>
    <x v="1"/>
    <n v="2900"/>
  </r>
  <r>
    <x v="3"/>
    <x v="2"/>
    <x v="0"/>
    <n v="3500"/>
  </r>
  <r>
    <x v="4"/>
    <x v="0"/>
    <x v="1"/>
    <n v="2700"/>
  </r>
  <r>
    <x v="0"/>
    <x v="1"/>
    <x v="0"/>
    <n v="1600"/>
  </r>
  <r>
    <x v="1"/>
    <x v="2"/>
    <x v="1"/>
    <n v="4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5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D8" firstHeaderRow="1" firstDataRow="2" firstDataCol="1" rowPageCount="1" colPageCount="1"/>
  <pivotFields count="4">
    <pivotField axis="axisPage" multipleItemSelectionAllowed="1" showAll="0">
      <items count="6">
        <item x="0"/>
        <item x="2"/>
        <item x="3"/>
        <item x="1"/>
        <item x="4"/>
        <item t="default"/>
      </items>
    </pivotField>
    <pivotField axis="axisRow" showAll="0" sortType="descending">
      <items count="4">
        <item x="2"/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Col" showAll="0">
      <items count="3">
        <item x="0"/>
        <item x="1"/>
        <item t="default"/>
      </items>
    </pivotField>
    <pivotField dataField="1" showAll="0"/>
  </pivotFields>
  <rowFields count="1">
    <field x="1"/>
  </rowFields>
  <rowItems count="4">
    <i>
      <x/>
    </i>
    <i>
      <x v="2"/>
    </i>
    <i>
      <x v="1"/>
    </i>
    <i t="grand">
      <x/>
    </i>
  </rowItems>
  <colFields count="1">
    <field x="2"/>
  </colFields>
  <colItems count="3">
    <i>
      <x/>
    </i>
    <i>
      <x v="1"/>
    </i>
    <i t="grand">
      <x/>
    </i>
  </colItems>
  <pageFields count="1">
    <pageField fld="0" hier="-1"/>
  </pageFields>
  <dataFields count="1">
    <dataField name="Sum of Sale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selection activeCell="C14" sqref="C14"/>
    </sheetView>
  </sheetViews>
  <sheetFormatPr defaultRowHeight="14.5" x14ac:dyDescent="0.35"/>
  <cols>
    <col min="1" max="1" width="4.36328125" bestFit="1" customWidth="1"/>
    <col min="2" max="2" width="9.453125" bestFit="1" customWidth="1"/>
  </cols>
  <sheetData>
    <row r="1" spans="1:2" x14ac:dyDescent="0.35">
      <c r="A1" t="s">
        <v>0</v>
      </c>
      <c r="B1" t="s">
        <v>1</v>
      </c>
    </row>
    <row r="2" spans="1:2" x14ac:dyDescent="0.35">
      <c r="A2">
        <v>25</v>
      </c>
      <c r="B2" s="1">
        <v>46114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"/>
  <sheetViews>
    <sheetView workbookViewId="0">
      <selection activeCell="G16" sqref="G16"/>
    </sheetView>
  </sheetViews>
  <sheetFormatPr defaultRowHeight="14.5" x14ac:dyDescent="0.35"/>
  <cols>
    <col min="1" max="1" width="18" bestFit="1" customWidth="1"/>
    <col min="2" max="2" width="11.81640625" bestFit="1" customWidth="1"/>
    <col min="3" max="3" width="13.7265625" bestFit="1" customWidth="1"/>
    <col min="4" max="4" width="3.81640625" bestFit="1" customWidth="1"/>
  </cols>
  <sheetData>
    <row r="1" spans="1:4" ht="21" x14ac:dyDescent="0.5">
      <c r="A1" s="13" t="s">
        <v>15</v>
      </c>
      <c r="B1" s="14"/>
      <c r="C1" s="15"/>
    </row>
    <row r="2" spans="1:4" x14ac:dyDescent="0.35">
      <c r="A2" s="3" t="s">
        <v>3</v>
      </c>
      <c r="B2" s="3">
        <v>3000</v>
      </c>
      <c r="C2" s="3" t="str">
        <f t="shared" ref="C2:C7" si="0">IF(B2&gt;2000,"Good Day","Bad Day")</f>
        <v>Good Day</v>
      </c>
      <c r="D2">
        <f>100+200</f>
        <v>300</v>
      </c>
    </row>
    <row r="3" spans="1:4" x14ac:dyDescent="0.35">
      <c r="A3" s="2" t="s">
        <v>4</v>
      </c>
      <c r="B3" s="2">
        <v>2300</v>
      </c>
      <c r="C3" s="2" t="str">
        <f t="shared" si="0"/>
        <v>Good Day</v>
      </c>
      <c r="D3">
        <f>500-150</f>
        <v>350</v>
      </c>
    </row>
    <row r="4" spans="1:4" x14ac:dyDescent="0.35">
      <c r="A4" s="3" t="s">
        <v>5</v>
      </c>
      <c r="B4" s="3">
        <v>1800</v>
      </c>
      <c r="C4" s="3" t="str">
        <f t="shared" si="0"/>
        <v>Bad Day</v>
      </c>
      <c r="D4">
        <f>50*4</f>
        <v>200</v>
      </c>
    </row>
    <row r="5" spans="1:4" x14ac:dyDescent="0.35">
      <c r="A5" s="2" t="s">
        <v>6</v>
      </c>
      <c r="B5" s="2">
        <v>3100</v>
      </c>
      <c r="C5" s="2" t="str">
        <f t="shared" si="0"/>
        <v>Good Day</v>
      </c>
      <c r="D5">
        <f>100/4</f>
        <v>25</v>
      </c>
    </row>
    <row r="6" spans="1:4" x14ac:dyDescent="0.35">
      <c r="A6" s="3" t="s">
        <v>7</v>
      </c>
      <c r="B6" s="3">
        <v>2750</v>
      </c>
      <c r="C6" s="3" t="str">
        <f t="shared" si="0"/>
        <v>Good Day</v>
      </c>
    </row>
    <row r="7" spans="1:4" x14ac:dyDescent="0.35">
      <c r="A7" s="2" t="s">
        <v>8</v>
      </c>
      <c r="B7" s="2">
        <v>4200</v>
      </c>
      <c r="C7" s="2" t="str">
        <f t="shared" si="0"/>
        <v>Good Day</v>
      </c>
    </row>
    <row r="8" spans="1:4" x14ac:dyDescent="0.35">
      <c r="A8" s="4" t="s">
        <v>9</v>
      </c>
      <c r="B8" s="5">
        <f>SUM(B2:B7)</f>
        <v>17150</v>
      </c>
      <c r="C8" s="2"/>
    </row>
    <row r="9" spans="1:4" x14ac:dyDescent="0.35">
      <c r="A9" s="5" t="s">
        <v>10</v>
      </c>
      <c r="B9" s="5">
        <f>AVERAGE(B2:B7)</f>
        <v>2858.3333333333335</v>
      </c>
      <c r="C9" s="2"/>
    </row>
    <row r="10" spans="1:4" x14ac:dyDescent="0.35">
      <c r="A10" s="5" t="s">
        <v>11</v>
      </c>
      <c r="B10" s="5">
        <f>MAX(B2:B7)</f>
        <v>4200</v>
      </c>
      <c r="C10" s="2"/>
    </row>
    <row r="11" spans="1:4" x14ac:dyDescent="0.35">
      <c r="A11" s="5" t="s">
        <v>12</v>
      </c>
      <c r="B11" s="5">
        <f>MIN(B2:B7)</f>
        <v>1800</v>
      </c>
      <c r="C11" s="2"/>
    </row>
    <row r="12" spans="1:4" x14ac:dyDescent="0.35">
      <c r="A12" s="5"/>
      <c r="B12" s="5"/>
      <c r="C12" s="2"/>
    </row>
    <row r="13" spans="1:4" x14ac:dyDescent="0.35">
      <c r="A13" s="2" t="s">
        <v>13</v>
      </c>
      <c r="B13" s="2">
        <f>COUNT(B2:B7)</f>
        <v>6</v>
      </c>
      <c r="C13" s="2"/>
    </row>
    <row r="14" spans="1:4" x14ac:dyDescent="0.35">
      <c r="A14" s="2" t="s">
        <v>14</v>
      </c>
      <c r="B14" s="2">
        <f>COUNTA(A2:A7)</f>
        <v>6</v>
      </c>
      <c r="C14" s="2"/>
    </row>
  </sheetData>
  <mergeCells count="1">
    <mergeCell ref="A1:C1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1"/>
  <sheetViews>
    <sheetView workbookViewId="0">
      <pane ySplit="1" topLeftCell="A2" activePane="bottomLeft" state="frozen"/>
      <selection pane="bottomLeft" activeCell="D3" sqref="D3"/>
    </sheetView>
  </sheetViews>
  <sheetFormatPr defaultRowHeight="14.5" x14ac:dyDescent="0.35"/>
  <cols>
    <col min="1" max="1" width="8.7265625" bestFit="1" customWidth="1"/>
    <col min="2" max="2" width="10.81640625" bestFit="1" customWidth="1"/>
    <col min="3" max="3" width="9.7265625" bestFit="1" customWidth="1"/>
  </cols>
  <sheetData>
    <row r="1" spans="1:3" ht="17" x14ac:dyDescent="0.4">
      <c r="A1" s="7" t="s">
        <v>16</v>
      </c>
      <c r="B1" s="7" t="s">
        <v>2</v>
      </c>
      <c r="C1" s="7" t="s">
        <v>17</v>
      </c>
    </row>
    <row r="2" spans="1:3" x14ac:dyDescent="0.35">
      <c r="A2" s="6" t="s">
        <v>18</v>
      </c>
      <c r="B2" s="6">
        <v>1500</v>
      </c>
      <c r="C2" s="6" t="s">
        <v>28</v>
      </c>
    </row>
    <row r="3" spans="1:3" x14ac:dyDescent="0.35">
      <c r="A3" s="2" t="s">
        <v>25</v>
      </c>
      <c r="B3" s="2">
        <v>2700</v>
      </c>
      <c r="C3" s="2" t="s">
        <v>28</v>
      </c>
    </row>
    <row r="4" spans="1:3" x14ac:dyDescent="0.35">
      <c r="A4" s="6" t="s">
        <v>22</v>
      </c>
      <c r="B4" s="6">
        <v>950</v>
      </c>
      <c r="C4" s="6" t="s">
        <v>30</v>
      </c>
    </row>
    <row r="5" spans="1:3" x14ac:dyDescent="0.35">
      <c r="A5" s="2" t="s">
        <v>27</v>
      </c>
      <c r="B5" s="2">
        <v>650</v>
      </c>
      <c r="C5" s="2" t="s">
        <v>29</v>
      </c>
    </row>
    <row r="6" spans="1:3" x14ac:dyDescent="0.35">
      <c r="A6" s="6" t="s">
        <v>23</v>
      </c>
      <c r="B6" s="6">
        <v>3800</v>
      </c>
      <c r="C6" s="6" t="s">
        <v>30</v>
      </c>
    </row>
    <row r="7" spans="1:3" x14ac:dyDescent="0.35">
      <c r="A7" s="2" t="s">
        <v>21</v>
      </c>
      <c r="B7" s="2">
        <v>2100</v>
      </c>
      <c r="C7" s="2" t="s">
        <v>29</v>
      </c>
    </row>
    <row r="8" spans="1:3" x14ac:dyDescent="0.35">
      <c r="A8" s="6" t="s">
        <v>26</v>
      </c>
      <c r="B8" s="6">
        <v>1800</v>
      </c>
      <c r="C8" s="6" t="s">
        <v>30</v>
      </c>
    </row>
    <row r="9" spans="1:3" x14ac:dyDescent="0.35">
      <c r="A9" s="2" t="s">
        <v>19</v>
      </c>
      <c r="B9" s="2">
        <v>3200</v>
      </c>
      <c r="C9" s="2" t="s">
        <v>28</v>
      </c>
    </row>
    <row r="10" spans="1:3" x14ac:dyDescent="0.35">
      <c r="A10" s="6" t="s">
        <v>20</v>
      </c>
      <c r="B10" s="6">
        <v>800</v>
      </c>
      <c r="C10" s="6" t="s">
        <v>29</v>
      </c>
    </row>
    <row r="11" spans="1:3" x14ac:dyDescent="0.35">
      <c r="A11" s="2" t="s">
        <v>24</v>
      </c>
      <c r="B11" s="2">
        <v>1200</v>
      </c>
      <c r="C11" s="6" t="s">
        <v>29</v>
      </c>
    </row>
    <row r="12" spans="1:3" x14ac:dyDescent="0.35">
      <c r="A12" s="6" t="s">
        <v>18</v>
      </c>
      <c r="B12" s="6">
        <v>1500</v>
      </c>
      <c r="C12" s="6" t="s">
        <v>28</v>
      </c>
    </row>
    <row r="13" spans="1:3" x14ac:dyDescent="0.35">
      <c r="A13" s="2" t="s">
        <v>25</v>
      </c>
      <c r="B13" s="2">
        <v>2700</v>
      </c>
      <c r="C13" s="2" t="s">
        <v>28</v>
      </c>
    </row>
    <row r="14" spans="1:3" x14ac:dyDescent="0.35">
      <c r="A14" s="6" t="s">
        <v>22</v>
      </c>
      <c r="B14" s="6">
        <v>950</v>
      </c>
      <c r="C14" s="6" t="s">
        <v>30</v>
      </c>
    </row>
    <row r="15" spans="1:3" x14ac:dyDescent="0.35">
      <c r="A15" s="2" t="s">
        <v>27</v>
      </c>
      <c r="B15" s="2">
        <v>650</v>
      </c>
      <c r="C15" s="2" t="s">
        <v>29</v>
      </c>
    </row>
    <row r="16" spans="1:3" x14ac:dyDescent="0.35">
      <c r="A16" s="6" t="s">
        <v>23</v>
      </c>
      <c r="B16" s="6">
        <v>3800</v>
      </c>
      <c r="C16" s="6" t="s">
        <v>30</v>
      </c>
    </row>
    <row r="17" spans="1:3" x14ac:dyDescent="0.35">
      <c r="A17" s="2" t="s">
        <v>21</v>
      </c>
      <c r="B17" s="2">
        <v>2100</v>
      </c>
      <c r="C17" s="2" t="s">
        <v>29</v>
      </c>
    </row>
    <row r="18" spans="1:3" x14ac:dyDescent="0.35">
      <c r="A18" s="6" t="s">
        <v>26</v>
      </c>
      <c r="B18" s="6">
        <v>1800</v>
      </c>
      <c r="C18" s="6" t="s">
        <v>30</v>
      </c>
    </row>
    <row r="19" spans="1:3" x14ac:dyDescent="0.35">
      <c r="A19" s="2" t="s">
        <v>19</v>
      </c>
      <c r="B19" s="2">
        <v>3200</v>
      </c>
      <c r="C19" s="2" t="s">
        <v>28</v>
      </c>
    </row>
    <row r="20" spans="1:3" x14ac:dyDescent="0.35">
      <c r="A20" s="6" t="s">
        <v>20</v>
      </c>
      <c r="B20" s="6">
        <v>800</v>
      </c>
      <c r="C20" s="6" t="s">
        <v>29</v>
      </c>
    </row>
    <row r="21" spans="1:3" x14ac:dyDescent="0.35">
      <c r="A21" s="2" t="s">
        <v>24</v>
      </c>
      <c r="B21" s="2">
        <v>1200</v>
      </c>
      <c r="C21" s="6" t="s">
        <v>29</v>
      </c>
    </row>
    <row r="22" spans="1:3" x14ac:dyDescent="0.35">
      <c r="A22" s="6" t="s">
        <v>18</v>
      </c>
      <c r="B22" s="6">
        <v>1500</v>
      </c>
      <c r="C22" s="6" t="s">
        <v>28</v>
      </c>
    </row>
    <row r="23" spans="1:3" x14ac:dyDescent="0.35">
      <c r="A23" s="2" t="s">
        <v>25</v>
      </c>
      <c r="B23" s="2">
        <v>2700</v>
      </c>
      <c r="C23" s="2" t="s">
        <v>28</v>
      </c>
    </row>
    <row r="24" spans="1:3" x14ac:dyDescent="0.35">
      <c r="A24" s="6" t="s">
        <v>22</v>
      </c>
      <c r="B24" s="6">
        <v>950</v>
      </c>
      <c r="C24" s="6" t="s">
        <v>30</v>
      </c>
    </row>
    <row r="25" spans="1:3" x14ac:dyDescent="0.35">
      <c r="A25" s="2" t="s">
        <v>27</v>
      </c>
      <c r="B25" s="2">
        <v>650</v>
      </c>
      <c r="C25" s="2" t="s">
        <v>29</v>
      </c>
    </row>
    <row r="26" spans="1:3" x14ac:dyDescent="0.35">
      <c r="A26" s="6" t="s">
        <v>23</v>
      </c>
      <c r="B26" s="6">
        <v>3800</v>
      </c>
      <c r="C26" s="6" t="s">
        <v>30</v>
      </c>
    </row>
    <row r="27" spans="1:3" x14ac:dyDescent="0.35">
      <c r="A27" s="2" t="s">
        <v>21</v>
      </c>
      <c r="B27" s="2">
        <v>2100</v>
      </c>
      <c r="C27" s="2" t="s">
        <v>29</v>
      </c>
    </row>
    <row r="28" spans="1:3" x14ac:dyDescent="0.35">
      <c r="A28" s="6" t="s">
        <v>26</v>
      </c>
      <c r="B28" s="6">
        <v>1800</v>
      </c>
      <c r="C28" s="6" t="s">
        <v>30</v>
      </c>
    </row>
    <row r="29" spans="1:3" x14ac:dyDescent="0.35">
      <c r="A29" s="2" t="s">
        <v>19</v>
      </c>
      <c r="B29" s="2">
        <v>3200</v>
      </c>
      <c r="C29" s="2" t="s">
        <v>28</v>
      </c>
    </row>
    <row r="30" spans="1:3" x14ac:dyDescent="0.35">
      <c r="A30" s="6" t="s">
        <v>20</v>
      </c>
      <c r="B30" s="6">
        <v>800</v>
      </c>
      <c r="C30" s="6" t="s">
        <v>29</v>
      </c>
    </row>
    <row r="31" spans="1:3" x14ac:dyDescent="0.35">
      <c r="A31" s="2" t="s">
        <v>24</v>
      </c>
      <c r="B31" s="2">
        <v>1200</v>
      </c>
      <c r="C31" s="6" t="s">
        <v>29</v>
      </c>
    </row>
  </sheetData>
  <sortState ref="A2:C11">
    <sortCondition ref="A2:A11"/>
  </sortState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selection activeCell="J1" sqref="J1"/>
    </sheetView>
  </sheetViews>
  <sheetFormatPr defaultRowHeight="14.5" x14ac:dyDescent="0.35"/>
  <cols>
    <col min="1" max="1" width="10.26953125" bestFit="1" customWidth="1"/>
    <col min="2" max="2" width="6.36328125" bestFit="1" customWidth="1"/>
    <col min="3" max="3" width="6.81640625" bestFit="1" customWidth="1"/>
    <col min="4" max="4" width="6.26953125" bestFit="1" customWidth="1"/>
    <col min="5" max="5" width="10.1796875" bestFit="1" customWidth="1"/>
    <col min="6" max="6" width="11.7265625" bestFit="1" customWidth="1"/>
    <col min="7" max="7" width="6.81640625" bestFit="1" customWidth="1"/>
    <col min="8" max="8" width="6.26953125" bestFit="1" customWidth="1"/>
  </cols>
  <sheetData>
    <row r="1" spans="1:12" ht="15.5" x14ac:dyDescent="0.35">
      <c r="A1" s="8" t="s">
        <v>31</v>
      </c>
      <c r="B1" s="8" t="s">
        <v>32</v>
      </c>
      <c r="C1" s="8" t="s">
        <v>38</v>
      </c>
      <c r="D1" s="8" t="s">
        <v>39</v>
      </c>
      <c r="E1" s="8" t="s">
        <v>51</v>
      </c>
      <c r="F1" s="8" t="s">
        <v>55</v>
      </c>
      <c r="J1" s="8" t="s">
        <v>31</v>
      </c>
      <c r="K1" s="8" t="s">
        <v>38</v>
      </c>
      <c r="L1" s="8" t="s">
        <v>39</v>
      </c>
    </row>
    <row r="2" spans="1:12" x14ac:dyDescent="0.35">
      <c r="A2" s="9" t="s">
        <v>33</v>
      </c>
      <c r="B2" s="9">
        <v>85</v>
      </c>
      <c r="C2" s="9" t="str">
        <f>VLOOKUP(A2,$J$2:$L$6,2,0)</f>
        <v>Ahmed</v>
      </c>
      <c r="D2" s="9" t="str">
        <f>VLOOKUP(A2,$J$2:$L$6,3,0)</f>
        <v>A</v>
      </c>
      <c r="E2" s="9" t="s">
        <v>52</v>
      </c>
      <c r="F2" s="9" t="s">
        <v>56</v>
      </c>
      <c r="J2" s="9" t="s">
        <v>33</v>
      </c>
      <c r="K2" s="9" t="s">
        <v>40</v>
      </c>
      <c r="L2" s="9" t="s">
        <v>45</v>
      </c>
    </row>
    <row r="3" spans="1:12" x14ac:dyDescent="0.35">
      <c r="A3" s="2" t="s">
        <v>34</v>
      </c>
      <c r="B3" s="2">
        <v>72</v>
      </c>
      <c r="C3" s="2" t="str">
        <f>VLOOKUP(A3,$J$2:$L$6,2,0)</f>
        <v>Sara</v>
      </c>
      <c r="D3" s="5" t="str">
        <f>VLOOKUP(A3,$J$2:$L$6,3,0)</f>
        <v>B</v>
      </c>
      <c r="E3" s="5" t="s">
        <v>53</v>
      </c>
      <c r="F3" s="5" t="s">
        <v>57</v>
      </c>
      <c r="J3" s="2" t="s">
        <v>34</v>
      </c>
      <c r="K3" s="2" t="s">
        <v>41</v>
      </c>
      <c r="L3" s="2" t="s">
        <v>46</v>
      </c>
    </row>
    <row r="4" spans="1:12" x14ac:dyDescent="0.35">
      <c r="A4" s="9" t="s">
        <v>35</v>
      </c>
      <c r="B4" s="9">
        <v>91</v>
      </c>
      <c r="C4" s="9" t="str">
        <f>VLOOKUP(A4,$J$2:$L$6,2,0)</f>
        <v>Hamza</v>
      </c>
      <c r="D4" s="9" t="str">
        <f>VLOOKUP(A4,$J$2:$L$6,3,0)</f>
        <v>A+</v>
      </c>
      <c r="E4" s="9" t="s">
        <v>52</v>
      </c>
      <c r="F4" s="9" t="s">
        <v>58</v>
      </c>
      <c r="J4" s="9" t="s">
        <v>35</v>
      </c>
      <c r="K4" s="9" t="s">
        <v>50</v>
      </c>
      <c r="L4" s="9" t="s">
        <v>47</v>
      </c>
    </row>
    <row r="5" spans="1:12" x14ac:dyDescent="0.35">
      <c r="A5" s="2" t="s">
        <v>36</v>
      </c>
      <c r="B5" s="2">
        <v>68</v>
      </c>
      <c r="C5" s="2" t="str">
        <f>VLOOKUP(A5,$J$2:$L$6,2,0)</f>
        <v>Fatima</v>
      </c>
      <c r="D5" s="5" t="str">
        <f>VLOOKUP(A5,$J$2:$L$6,3,0)</f>
        <v>C</v>
      </c>
      <c r="E5" s="5" t="s">
        <v>54</v>
      </c>
      <c r="F5" s="5" t="s">
        <v>59</v>
      </c>
      <c r="J5" s="2" t="s">
        <v>36</v>
      </c>
      <c r="K5" s="2" t="s">
        <v>43</v>
      </c>
      <c r="L5" s="2" t="s">
        <v>48</v>
      </c>
    </row>
    <row r="6" spans="1:12" x14ac:dyDescent="0.35">
      <c r="A6" s="9" t="s">
        <v>37</v>
      </c>
      <c r="B6" s="9">
        <v>78</v>
      </c>
      <c r="C6" s="9" t="str">
        <f>VLOOKUP(A6,$J$2:$L$6,2,0)</f>
        <v>Usman</v>
      </c>
      <c r="D6" s="9" t="str">
        <f>VLOOKUP(A6,$J$2:$L$6,3,0)</f>
        <v>B+</v>
      </c>
      <c r="E6" s="9" t="s">
        <v>53</v>
      </c>
      <c r="F6" s="9" t="s">
        <v>57</v>
      </c>
      <c r="J6" s="9" t="s">
        <v>37</v>
      </c>
      <c r="K6" s="9" t="s">
        <v>44</v>
      </c>
      <c r="L6" s="9" t="s">
        <v>49</v>
      </c>
    </row>
  </sheetData>
  <dataValidations count="3">
    <dataValidation type="list" allowBlank="1" showInputMessage="1" showErrorMessage="1" sqref="E2:E6">
      <formula1>"Pass,Fail,Incomplete"</formula1>
    </dataValidation>
    <dataValidation type="whole" allowBlank="1" showInputMessage="1" showErrorMessage="1" errorTitle="Invalid Marks!" error="Marks must be between 0 and 100!" sqref="B2:B6">
      <formula1>0</formula1>
      <formula2>100</formula2>
    </dataValidation>
    <dataValidation type="list" allowBlank="1" showInputMessage="1" showErrorMessage="1" sqref="F2:F6">
      <formula1>"Science,Arts,Commerce,Engineering"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3"/>
  <sheetViews>
    <sheetView workbookViewId="0">
      <selection activeCell="A2" sqref="A2:D2"/>
    </sheetView>
  </sheetViews>
  <sheetFormatPr defaultRowHeight="14.5" x14ac:dyDescent="0.35"/>
  <cols>
    <col min="1" max="1" width="11.54296875" bestFit="1" customWidth="1"/>
    <col min="2" max="2" width="9.453125" bestFit="1" customWidth="1"/>
    <col min="3" max="3" width="8.453125" bestFit="1" customWidth="1"/>
    <col min="4" max="4" width="5.36328125" bestFit="1" customWidth="1"/>
  </cols>
  <sheetData>
    <row r="1" spans="1:4" ht="15.5" x14ac:dyDescent="0.35">
      <c r="A1" s="8" t="s">
        <v>60</v>
      </c>
      <c r="B1" s="8" t="s">
        <v>61</v>
      </c>
      <c r="C1" s="8" t="s">
        <v>16</v>
      </c>
      <c r="D1" s="8" t="s">
        <v>62</v>
      </c>
    </row>
    <row r="2" spans="1:4" x14ac:dyDescent="0.35">
      <c r="A2" s="9" t="s">
        <v>40</v>
      </c>
      <c r="B2" s="9" t="s">
        <v>63</v>
      </c>
      <c r="C2" s="9" t="s">
        <v>18</v>
      </c>
      <c r="D2" s="9">
        <v>2500</v>
      </c>
    </row>
    <row r="3" spans="1:4" x14ac:dyDescent="0.35">
      <c r="A3" s="2" t="s">
        <v>41</v>
      </c>
      <c r="B3" s="2" t="s">
        <v>64</v>
      </c>
      <c r="C3" s="2" t="s">
        <v>19</v>
      </c>
      <c r="D3" s="2">
        <v>3800</v>
      </c>
    </row>
    <row r="4" spans="1:4" x14ac:dyDescent="0.35">
      <c r="A4" s="9" t="s">
        <v>42</v>
      </c>
      <c r="B4" s="9" t="s">
        <v>1</v>
      </c>
      <c r="C4" s="9" t="s">
        <v>18</v>
      </c>
      <c r="D4" s="9">
        <v>1900</v>
      </c>
    </row>
    <row r="5" spans="1:4" x14ac:dyDescent="0.35">
      <c r="A5" s="2" t="s">
        <v>43</v>
      </c>
      <c r="B5" s="2" t="s">
        <v>63</v>
      </c>
      <c r="C5" s="2" t="s">
        <v>19</v>
      </c>
      <c r="D5" s="2">
        <v>4200</v>
      </c>
    </row>
    <row r="6" spans="1:4" x14ac:dyDescent="0.35">
      <c r="A6" s="9" t="s">
        <v>44</v>
      </c>
      <c r="B6" s="9" t="s">
        <v>64</v>
      </c>
      <c r="C6" s="9" t="s">
        <v>18</v>
      </c>
      <c r="D6" s="9">
        <v>2100</v>
      </c>
    </row>
    <row r="7" spans="1:4" x14ac:dyDescent="0.35">
      <c r="A7" s="2" t="s">
        <v>40</v>
      </c>
      <c r="B7" s="2" t="s">
        <v>1</v>
      </c>
      <c r="C7" s="2" t="s">
        <v>19</v>
      </c>
      <c r="D7" s="2">
        <v>3300</v>
      </c>
    </row>
    <row r="8" spans="1:4" x14ac:dyDescent="0.35">
      <c r="A8" s="9" t="s">
        <v>41</v>
      </c>
      <c r="B8" s="9" t="s">
        <v>63</v>
      </c>
      <c r="C8" s="9" t="s">
        <v>18</v>
      </c>
      <c r="D8" s="9">
        <v>1800</v>
      </c>
    </row>
    <row r="9" spans="1:4" x14ac:dyDescent="0.35">
      <c r="A9" s="2" t="s">
        <v>42</v>
      </c>
      <c r="B9" s="2" t="s">
        <v>64</v>
      </c>
      <c r="C9" s="2" t="s">
        <v>19</v>
      </c>
      <c r="D9" s="2">
        <v>2900</v>
      </c>
    </row>
    <row r="10" spans="1:4" x14ac:dyDescent="0.35">
      <c r="A10" s="9" t="s">
        <v>43</v>
      </c>
      <c r="B10" s="9" t="s">
        <v>1</v>
      </c>
      <c r="C10" s="9" t="s">
        <v>18</v>
      </c>
      <c r="D10" s="9">
        <v>3500</v>
      </c>
    </row>
    <row r="11" spans="1:4" x14ac:dyDescent="0.35">
      <c r="A11" s="2" t="s">
        <v>44</v>
      </c>
      <c r="B11" s="2" t="s">
        <v>63</v>
      </c>
      <c r="C11" s="2" t="s">
        <v>19</v>
      </c>
      <c r="D11" s="2">
        <v>2700</v>
      </c>
    </row>
    <row r="12" spans="1:4" x14ac:dyDescent="0.35">
      <c r="A12" s="9" t="s">
        <v>40</v>
      </c>
      <c r="B12" s="9" t="s">
        <v>64</v>
      </c>
      <c r="C12" s="9" t="s">
        <v>18</v>
      </c>
      <c r="D12" s="9">
        <v>1600</v>
      </c>
    </row>
    <row r="13" spans="1:4" x14ac:dyDescent="0.35">
      <c r="A13" s="2" t="s">
        <v>41</v>
      </c>
      <c r="B13" s="2" t="s">
        <v>1</v>
      </c>
      <c r="C13" s="2" t="s">
        <v>19</v>
      </c>
      <c r="D13" s="2">
        <v>4100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selection activeCell="D7" sqref="D7"/>
    </sheetView>
  </sheetViews>
  <sheetFormatPr defaultRowHeight="14.5" x14ac:dyDescent="0.35"/>
  <cols>
    <col min="1" max="1" width="12.36328125" bestFit="1" customWidth="1"/>
    <col min="2" max="2" width="15.26953125" bestFit="1" customWidth="1"/>
    <col min="3" max="3" width="8.453125" customWidth="1"/>
    <col min="4" max="4" width="10.7265625" bestFit="1" customWidth="1"/>
  </cols>
  <sheetData>
    <row r="1" spans="1:4" x14ac:dyDescent="0.35">
      <c r="A1" s="10" t="s">
        <v>60</v>
      </c>
      <c r="B1" t="s">
        <v>69</v>
      </c>
    </row>
    <row r="3" spans="1:4" x14ac:dyDescent="0.35">
      <c r="A3" s="10" t="s">
        <v>67</v>
      </c>
      <c r="B3" s="10" t="s">
        <v>68</v>
      </c>
    </row>
    <row r="4" spans="1:4" x14ac:dyDescent="0.35">
      <c r="A4" s="10" t="s">
        <v>65</v>
      </c>
      <c r="B4" t="s">
        <v>18</v>
      </c>
      <c r="C4" t="s">
        <v>19</v>
      </c>
      <c r="D4" t="s">
        <v>66</v>
      </c>
    </row>
    <row r="5" spans="1:4" x14ac:dyDescent="0.35">
      <c r="A5" s="11" t="s">
        <v>1</v>
      </c>
      <c r="B5" s="12">
        <v>5400</v>
      </c>
      <c r="C5" s="12">
        <v>7400</v>
      </c>
      <c r="D5" s="12">
        <v>12800</v>
      </c>
    </row>
    <row r="6" spans="1:4" x14ac:dyDescent="0.35">
      <c r="A6" s="11" t="s">
        <v>63</v>
      </c>
      <c r="B6" s="12">
        <v>4300</v>
      </c>
      <c r="C6" s="12">
        <v>6900</v>
      </c>
      <c r="D6" s="12">
        <v>11200</v>
      </c>
    </row>
    <row r="7" spans="1:4" x14ac:dyDescent="0.35">
      <c r="A7" s="11" t="s">
        <v>64</v>
      </c>
      <c r="B7" s="12">
        <v>3700</v>
      </c>
      <c r="C7" s="12">
        <v>6700</v>
      </c>
      <c r="D7" s="12">
        <v>10400</v>
      </c>
    </row>
    <row r="8" spans="1:4" x14ac:dyDescent="0.35">
      <c r="A8" s="11" t="s">
        <v>66</v>
      </c>
      <c r="B8" s="12">
        <v>13400</v>
      </c>
      <c r="C8" s="12">
        <v>21000</v>
      </c>
      <c r="D8" s="12">
        <v>34400</v>
      </c>
    </row>
  </sheetData>
  <pageMargins left="0.7" right="0.7" top="0.75" bottom="0.75" header="0.3" footer="0.3"/>
  <pageSetup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Views>
    <sheetView workbookViewId="0"/>
  </sheetViews>
  <sheetFormatPr defaultRowHeight="14.5" x14ac:dyDescent="0.35"/>
  <cols>
    <col min="1" max="1" width="6.81640625" bestFit="1" customWidth="1"/>
    <col min="2" max="2" width="5.36328125" bestFit="1" customWidth="1"/>
    <col min="3" max="3" width="14.1796875" bestFit="1" customWidth="1"/>
    <col min="4" max="4" width="9.453125" bestFit="1" customWidth="1"/>
    <col min="5" max="5" width="11" bestFit="1" customWidth="1"/>
    <col min="6" max="6" width="9.36328125" bestFit="1" customWidth="1"/>
    <col min="7" max="7" width="13.81640625" bestFit="1" customWidth="1"/>
  </cols>
  <sheetData>
    <row r="1" spans="1:7" ht="15.5" x14ac:dyDescent="0.35">
      <c r="A1" s="8" t="s">
        <v>38</v>
      </c>
      <c r="B1" s="8" t="s">
        <v>62</v>
      </c>
      <c r="C1" s="8" t="s">
        <v>73</v>
      </c>
      <c r="D1" s="8" t="s">
        <v>61</v>
      </c>
      <c r="E1" s="8" t="s">
        <v>74</v>
      </c>
      <c r="F1" s="8" t="s">
        <v>75</v>
      </c>
      <c r="G1" s="8" t="s">
        <v>76</v>
      </c>
    </row>
    <row r="2" spans="1:7" x14ac:dyDescent="0.35">
      <c r="A2" s="9" t="s">
        <v>40</v>
      </c>
      <c r="B2" s="9">
        <v>3500</v>
      </c>
      <c r="C2" s="9">
        <v>95</v>
      </c>
      <c r="D2" s="9" t="s">
        <v>63</v>
      </c>
      <c r="E2" s="9" t="str">
        <f>IF(AND(B2&gt;2500,C2&gt;90),"Yes - Bonus!","No Bonus")</f>
        <v>Yes - Bonus!</v>
      </c>
      <c r="F2" s="9" t="str">
        <f>IF(OR(D2="Lahore",D2="Karachi"),"Major City","Other City")</f>
        <v>Major City</v>
      </c>
      <c r="G2" s="9" t="str">
        <f>IF(AND(B2&gt;3000,C2&gt;90,D2="Lahore"),"Star!","Regular")</f>
        <v>Star!</v>
      </c>
    </row>
    <row r="3" spans="1:7" x14ac:dyDescent="0.35">
      <c r="A3" s="2" t="s">
        <v>41</v>
      </c>
      <c r="B3" s="2">
        <v>2800</v>
      </c>
      <c r="C3" s="2">
        <v>88</v>
      </c>
      <c r="D3" s="5" t="s">
        <v>64</v>
      </c>
      <c r="E3" s="5" t="str">
        <f t="shared" ref="E3:E9" si="0">IF(AND(B3&gt;2500,C3&gt;90),"Yes - Bonus!","No Bonus")</f>
        <v>No Bonus</v>
      </c>
      <c r="F3" s="2" t="str">
        <f t="shared" ref="F3:F9" si="1">IF(OR(D3="Lahore",D3="Karachi"),"Major City","Other City")</f>
        <v>Major City</v>
      </c>
      <c r="G3" s="2" t="str">
        <f t="shared" ref="G3:G9" si="2">IF(AND(B3&gt;3000,C3&gt;90,D3="Lahore"),"Star!","Regular")</f>
        <v>Regular</v>
      </c>
    </row>
    <row r="4" spans="1:7" x14ac:dyDescent="0.35">
      <c r="A4" s="9" t="s">
        <v>42</v>
      </c>
      <c r="B4" s="9">
        <v>4200</v>
      </c>
      <c r="C4" s="9">
        <v>92</v>
      </c>
      <c r="D4" s="9" t="s">
        <v>1</v>
      </c>
      <c r="E4" s="9" t="str">
        <f t="shared" si="0"/>
        <v>Yes - Bonus!</v>
      </c>
      <c r="F4" s="9" t="str">
        <f t="shared" si="1"/>
        <v>Other City</v>
      </c>
      <c r="G4" s="9" t="str">
        <f t="shared" si="2"/>
        <v>Regular</v>
      </c>
    </row>
    <row r="5" spans="1:7" x14ac:dyDescent="0.35">
      <c r="A5" s="2" t="s">
        <v>43</v>
      </c>
      <c r="B5" s="2">
        <v>3100</v>
      </c>
      <c r="C5" s="2">
        <v>78</v>
      </c>
      <c r="D5" s="2" t="s">
        <v>63</v>
      </c>
      <c r="E5" s="5" t="str">
        <f t="shared" si="0"/>
        <v>No Bonus</v>
      </c>
      <c r="F5" s="2" t="str">
        <f t="shared" si="1"/>
        <v>Major City</v>
      </c>
      <c r="G5" s="2" t="str">
        <f t="shared" si="2"/>
        <v>Regular</v>
      </c>
    </row>
    <row r="6" spans="1:7" x14ac:dyDescent="0.35">
      <c r="A6" s="9" t="s">
        <v>44</v>
      </c>
      <c r="B6" s="9">
        <v>2500</v>
      </c>
      <c r="C6" s="9">
        <v>96</v>
      </c>
      <c r="D6" s="9" t="s">
        <v>72</v>
      </c>
      <c r="E6" s="9" t="str">
        <f t="shared" si="0"/>
        <v>No Bonus</v>
      </c>
      <c r="F6" s="9" t="str">
        <f t="shared" si="1"/>
        <v>Other City</v>
      </c>
      <c r="G6" s="9" t="str">
        <f t="shared" si="2"/>
        <v>Regular</v>
      </c>
    </row>
    <row r="7" spans="1:7" x14ac:dyDescent="0.35">
      <c r="A7" s="2" t="s">
        <v>50</v>
      </c>
      <c r="B7" s="2">
        <v>3800</v>
      </c>
      <c r="C7" s="2">
        <v>85</v>
      </c>
      <c r="D7" s="2" t="s">
        <v>64</v>
      </c>
      <c r="E7" s="5" t="str">
        <f t="shared" si="0"/>
        <v>No Bonus</v>
      </c>
      <c r="F7" s="2" t="str">
        <f t="shared" si="1"/>
        <v>Major City</v>
      </c>
      <c r="G7" s="2" t="str">
        <f t="shared" si="2"/>
        <v>Regular</v>
      </c>
    </row>
    <row r="8" spans="1:7" x14ac:dyDescent="0.35">
      <c r="A8" s="9" t="s">
        <v>71</v>
      </c>
      <c r="B8" s="9">
        <v>4500</v>
      </c>
      <c r="C8" s="9">
        <v>91</v>
      </c>
      <c r="D8" s="9" t="s">
        <v>63</v>
      </c>
      <c r="E8" s="9" t="str">
        <f t="shared" si="0"/>
        <v>Yes - Bonus!</v>
      </c>
      <c r="F8" s="9" t="str">
        <f t="shared" si="1"/>
        <v>Major City</v>
      </c>
      <c r="G8" s="9" t="str">
        <f t="shared" si="2"/>
        <v>Star!</v>
      </c>
    </row>
    <row r="9" spans="1:7" x14ac:dyDescent="0.35">
      <c r="A9" s="2" t="s">
        <v>70</v>
      </c>
      <c r="B9" s="2">
        <v>2200</v>
      </c>
      <c r="C9" s="2">
        <v>94</v>
      </c>
      <c r="D9" s="2" t="s">
        <v>1</v>
      </c>
      <c r="E9" s="5" t="str">
        <f t="shared" si="0"/>
        <v>No Bonus</v>
      </c>
      <c r="F9" s="2" t="str">
        <f t="shared" si="1"/>
        <v>Other City</v>
      </c>
      <c r="G9" s="2" t="str">
        <f t="shared" si="2"/>
        <v>Regular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tabSelected="1" workbookViewId="0">
      <selection activeCell="J13" sqref="J13"/>
    </sheetView>
  </sheetViews>
  <sheetFormatPr defaultRowHeight="14.5" x14ac:dyDescent="0.35"/>
  <cols>
    <col min="1" max="1" width="13.1796875" bestFit="1" customWidth="1"/>
    <col min="2" max="2" width="9.453125" bestFit="1" customWidth="1"/>
    <col min="3" max="3" width="5.36328125" bestFit="1" customWidth="1"/>
    <col min="4" max="4" width="11.7265625" bestFit="1" customWidth="1"/>
    <col min="5" max="5" width="9.81640625" bestFit="1" customWidth="1"/>
    <col min="6" max="6" width="14.81640625" bestFit="1" customWidth="1"/>
  </cols>
  <sheetData>
    <row r="1" spans="1:6" ht="15.5" x14ac:dyDescent="0.35">
      <c r="A1" s="8" t="s">
        <v>38</v>
      </c>
      <c r="B1" s="8" t="s">
        <v>61</v>
      </c>
      <c r="C1" s="8" t="s">
        <v>62</v>
      </c>
      <c r="D1" s="8" t="s">
        <v>83</v>
      </c>
      <c r="E1" s="8" t="s">
        <v>84</v>
      </c>
      <c r="F1" s="8" t="s">
        <v>85</v>
      </c>
    </row>
    <row r="2" spans="1:6" x14ac:dyDescent="0.35">
      <c r="A2" s="16" t="s">
        <v>77</v>
      </c>
      <c r="B2" s="16" t="s">
        <v>81</v>
      </c>
      <c r="C2" s="16">
        <v>2500</v>
      </c>
      <c r="D2" s="16" t="str">
        <f>PROPER(A2)</f>
        <v>Ahmed Khan</v>
      </c>
      <c r="E2" s="16" t="str">
        <f>PROPER(B2)</f>
        <v>Lahore</v>
      </c>
      <c r="F2" s="16" t="str">
        <f>TRIM(PROPER(A2))</f>
        <v>Ahmed Khan</v>
      </c>
    </row>
    <row r="3" spans="1:6" x14ac:dyDescent="0.35">
      <c r="A3" s="2" t="s">
        <v>78</v>
      </c>
      <c r="B3" s="2" t="s">
        <v>64</v>
      </c>
      <c r="C3" s="2">
        <v>3800</v>
      </c>
      <c r="D3" s="2" t="str">
        <f t="shared" ref="D3:D9" si="0">PROPER(A3)</f>
        <v>Sara Ali</v>
      </c>
      <c r="E3" s="2" t="str">
        <f t="shared" ref="E3:E9" si="1">PROPER(B3)</f>
        <v>Karachi</v>
      </c>
      <c r="F3" s="2" t="str">
        <f t="shared" ref="F3:F9" si="2">TRIM(PROPER(A3))</f>
        <v>Sara Ali</v>
      </c>
    </row>
    <row r="4" spans="1:6" x14ac:dyDescent="0.35">
      <c r="A4" s="16" t="s">
        <v>86</v>
      </c>
      <c r="B4" s="16" t="s">
        <v>1</v>
      </c>
      <c r="C4" s="16">
        <v>1900</v>
      </c>
      <c r="D4" s="16" t="str">
        <f t="shared" si="0"/>
        <v>Unknown</v>
      </c>
      <c r="E4" s="16" t="str">
        <f t="shared" si="1"/>
        <v>Islamabad</v>
      </c>
      <c r="F4" s="16" t="str">
        <f t="shared" si="2"/>
        <v>Unknown</v>
      </c>
    </row>
    <row r="5" spans="1:6" x14ac:dyDescent="0.35">
      <c r="A5" s="2" t="s">
        <v>86</v>
      </c>
      <c r="B5" s="2" t="s">
        <v>81</v>
      </c>
      <c r="C5" s="2">
        <v>4200</v>
      </c>
      <c r="D5" s="2" t="str">
        <f t="shared" si="0"/>
        <v>Unknown</v>
      </c>
      <c r="E5" s="2" t="str">
        <f t="shared" si="1"/>
        <v>Lahore</v>
      </c>
      <c r="F5" s="2" t="str">
        <f t="shared" si="2"/>
        <v>Unknown</v>
      </c>
    </row>
    <row r="6" spans="1:6" x14ac:dyDescent="0.35">
      <c r="A6" s="16" t="s">
        <v>86</v>
      </c>
      <c r="B6" s="16" t="s">
        <v>64</v>
      </c>
      <c r="C6" s="16">
        <v>2100</v>
      </c>
      <c r="D6" s="16" t="str">
        <f t="shared" si="0"/>
        <v>Unknown</v>
      </c>
      <c r="E6" s="16" t="str">
        <f t="shared" si="1"/>
        <v>Karachi</v>
      </c>
      <c r="F6" s="16" t="str">
        <f t="shared" si="2"/>
        <v>Unknown</v>
      </c>
    </row>
    <row r="7" spans="1:6" x14ac:dyDescent="0.35">
      <c r="A7" s="2" t="s">
        <v>86</v>
      </c>
      <c r="B7" s="2" t="s">
        <v>81</v>
      </c>
      <c r="C7" s="2">
        <v>2500</v>
      </c>
      <c r="D7" s="2" t="str">
        <f t="shared" si="0"/>
        <v>Unknown</v>
      </c>
      <c r="E7" s="2" t="str">
        <f t="shared" si="1"/>
        <v>Lahore</v>
      </c>
      <c r="F7" s="2" t="str">
        <f t="shared" si="2"/>
        <v>Unknown</v>
      </c>
    </row>
    <row r="8" spans="1:6" x14ac:dyDescent="0.35">
      <c r="A8" s="16" t="s">
        <v>79</v>
      </c>
      <c r="B8" s="16" t="s">
        <v>82</v>
      </c>
      <c r="C8" s="16">
        <v>3300</v>
      </c>
      <c r="D8" s="16" t="str">
        <f t="shared" si="0"/>
        <v>Ayesha Khan</v>
      </c>
      <c r="E8" s="16" t="str">
        <f t="shared" si="1"/>
        <v>Islamabad</v>
      </c>
      <c r="F8" s="16" t="str">
        <f t="shared" si="2"/>
        <v>Ayesha Khan</v>
      </c>
    </row>
    <row r="9" spans="1:6" x14ac:dyDescent="0.35">
      <c r="A9" s="2" t="s">
        <v>80</v>
      </c>
      <c r="B9" s="2" t="s">
        <v>64</v>
      </c>
      <c r="C9" s="2">
        <v>2900</v>
      </c>
      <c r="D9" s="2" t="str">
        <f t="shared" si="0"/>
        <v xml:space="preserve">  Bilal Ahmed</v>
      </c>
      <c r="E9" s="2" t="str">
        <f t="shared" si="1"/>
        <v>Karachi</v>
      </c>
      <c r="F9" s="2" t="str">
        <f t="shared" si="2"/>
        <v>Bilal Ahmed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Sheet2</vt:lpstr>
      <vt:lpstr>Sheet3</vt:lpstr>
      <vt:lpstr>Sheet4</vt:lpstr>
      <vt:lpstr>Sheet5</vt:lpstr>
      <vt:lpstr>Sheet6</vt:lpstr>
      <vt:lpstr>Sheet7</vt:lpstr>
      <vt:lpstr>Sheet8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umer</dc:creator>
  <cp:lastModifiedBy>umer</cp:lastModifiedBy>
  <dcterms:created xsi:type="dcterms:W3CDTF">2026-04-02T17:34:40Z</dcterms:created>
  <dcterms:modified xsi:type="dcterms:W3CDTF">2026-04-05T16:53:54Z</dcterms:modified>
</cp:coreProperties>
</file>